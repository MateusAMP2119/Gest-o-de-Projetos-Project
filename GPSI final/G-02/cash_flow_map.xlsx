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duisegiunl-my.sharepoint.com/personal/r20201557_novaims_unl_pt/Documents/"/>
    </mc:Choice>
  </mc:AlternateContent>
  <xr:revisionPtr revIDLastSave="239" documentId="8_{17E26316-4BC9-4CD7-B944-979BBC77F116}" xr6:coauthVersionLast="47" xr6:coauthVersionMax="47" xr10:uidLastSave="{7C77B463-5126-4637-991C-130D26ED2D24}"/>
  <bookViews>
    <workbookView xWindow="-90" yWindow="-90" windowWidth="19380" windowHeight="10260" xr2:uid="{6B3B652C-BB11-4385-A845-DC8E9EB0F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4" i="1" l="1"/>
  <c r="I14" i="1"/>
  <c r="E14" i="1"/>
  <c r="M14" i="1"/>
  <c r="K14" i="1"/>
  <c r="G14" i="1"/>
  <c r="O8" i="1"/>
  <c r="O7" i="1"/>
  <c r="O6" i="1"/>
  <c r="O5" i="1"/>
  <c r="O4" i="1"/>
  <c r="O3" i="1"/>
  <c r="O2" i="1"/>
  <c r="M8" i="1"/>
  <c r="M7" i="1"/>
  <c r="M6" i="1"/>
  <c r="M5" i="1"/>
  <c r="M4" i="1"/>
  <c r="M3" i="1"/>
  <c r="M2" i="1"/>
  <c r="K8" i="1"/>
  <c r="K7" i="1"/>
  <c r="K6" i="1"/>
  <c r="K5" i="1"/>
  <c r="K4" i="1"/>
  <c r="K3" i="1"/>
  <c r="K2" i="1"/>
  <c r="I8" i="1"/>
  <c r="I7" i="1"/>
  <c r="I6" i="1"/>
  <c r="I5" i="1"/>
  <c r="I4" i="1"/>
  <c r="I3" i="1"/>
  <c r="I2" i="1"/>
  <c r="G8" i="1"/>
  <c r="G7" i="1"/>
  <c r="G6" i="1"/>
  <c r="G5" i="1"/>
  <c r="G4" i="1"/>
  <c r="G3" i="1"/>
  <c r="G2" i="1"/>
  <c r="E8" i="1"/>
  <c r="E7" i="1"/>
  <c r="E6" i="1"/>
  <c r="E5" i="1"/>
  <c r="E4" i="1"/>
  <c r="E3" i="1"/>
  <c r="E2" i="1"/>
  <c r="O9" i="1" l="1"/>
  <c r="E9" i="1"/>
  <c r="E16" i="1" s="1"/>
  <c r="M9" i="1"/>
  <c r="K9" i="1"/>
  <c r="I9" i="1"/>
  <c r="G9" i="1"/>
  <c r="P9" i="1" l="1"/>
  <c r="C12" i="1" s="1"/>
  <c r="G16" i="1"/>
  <c r="I16" i="1" s="1"/>
  <c r="K16" i="1" s="1"/>
  <c r="M16" i="1" s="1"/>
  <c r="O16" i="1" s="1"/>
</calcChain>
</file>

<file path=xl/sharedStrings.xml><?xml version="1.0" encoding="utf-8"?>
<sst xmlns="http://schemas.openxmlformats.org/spreadsheetml/2006/main" count="27" uniqueCount="22">
  <si>
    <t>M1</t>
  </si>
  <si>
    <t>M2</t>
  </si>
  <si>
    <t>M3</t>
  </si>
  <si>
    <t>M4</t>
  </si>
  <si>
    <t>M5</t>
  </si>
  <si>
    <t>M6</t>
  </si>
  <si>
    <t>Total</t>
  </si>
  <si>
    <t>PM</t>
  </si>
  <si>
    <t>RH Costs</t>
  </si>
  <si>
    <t>Profits</t>
  </si>
  <si>
    <t>Invoices</t>
  </si>
  <si>
    <t>Cash Flow</t>
  </si>
  <si>
    <t>total</t>
  </si>
  <si>
    <t>Margin</t>
  </si>
  <si>
    <t>SCRUM T C1</t>
  </si>
  <si>
    <t>SCRUM T C2</t>
  </si>
  <si>
    <t>SIAC C1</t>
  </si>
  <si>
    <t>SIAC C2</t>
  </si>
  <si>
    <t>Daily Cost</t>
  </si>
  <si>
    <t>SCRUM M</t>
  </si>
  <si>
    <t>SIAC</t>
  </si>
  <si>
    <t>Work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</si>
</sst>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816]_-;\-* #,##0.00\ [$€-816]_-;_-* &quot;-&quot;??\ [$€-816]_-;_-@_-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vertical="center"/>
    </xf>
    <xf numFmtId="0" fontId="0" fillId="0" borderId="2" xfId="0" applyNumberFormat="1" applyBorder="1" applyAlignment="1">
      <alignment horizontal="center" vertical="center"/>
    </xf>
    <xf numFmtId="164" fontId="2" fillId="0" borderId="0" xfId="0" applyNumberFormat="1" applyFont="1" applyBorder="1" applyAlignment="1">
      <alignment vertical="center"/>
    </xf>
    <xf numFmtId="10" fontId="0" fillId="0" borderId="0" xfId="1" applyNumberFormat="1" applyFont="1" applyBorder="1" applyAlignment="1">
      <alignment vertical="center"/>
    </xf>
    <xf numFmtId="9" fontId="0" fillId="0" borderId="1" xfId="1" applyFont="1" applyBorder="1" applyAlignment="1">
      <alignment vertical="center"/>
    </xf>
    <xf numFmtId="9" fontId="0" fillId="0" borderId="2" xfId="1" applyFont="1" applyBorder="1" applyAlignment="1">
      <alignment vertical="center"/>
    </xf>
    <xf numFmtId="9" fontId="0" fillId="0" borderId="3" xfId="1" applyFont="1" applyBorder="1" applyAlignment="1">
      <alignment vertical="center"/>
    </xf>
    <xf numFmtId="164" fontId="0" fillId="0" borderId="6" xfId="0" applyNumberFormat="1" applyBorder="1" applyAlignment="1">
      <alignment vertical="center"/>
    </xf>
    <xf numFmtId="0" fontId="0" fillId="0" borderId="0" xfId="0" applyAlignment="1">
      <alignment horizontal="center"/>
    </xf>
    <xf numFmtId="164" fontId="2" fillId="0" borderId="0" xfId="0" applyNumberFormat="1" applyFon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vertical="center"/>
    </xf>
    <xf numFmtId="0" fontId="0" fillId="0" borderId="0" xfId="0" applyFill="1"/>
    <xf numFmtId="0" fontId="0" fillId="3" borderId="3" xfId="0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4" fontId="0" fillId="4" borderId="0" xfId="0" applyNumberFormat="1" applyFill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1" fontId="0" fillId="5" borderId="0" xfId="0" applyNumberFormat="1" applyFill="1" applyBorder="1" applyAlignment="1">
      <alignment horizontal="center" vertical="center"/>
    </xf>
    <xf numFmtId="0" fontId="0" fillId="5" borderId="0" xfId="0" applyFill="1"/>
    <xf numFmtId="166" fontId="0" fillId="5" borderId="0" xfId="0" applyNumberForma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6A99-7281-42FA-87DD-B6041B913687}">
  <dimension ref="A1:P16"/>
  <sheetViews>
    <sheetView tabSelected="1" topLeftCell="B1" zoomScale="70" zoomScaleNormal="70" workbookViewId="0">
      <selection activeCell="E20" sqref="E20"/>
    </sheetView>
  </sheetViews>
  <sheetFormatPr defaultRowHeight="14.75" x14ac:dyDescent="0.75"/>
  <cols>
    <col min="1" max="1" width="8.76953125" bestFit="1" customWidth="1"/>
    <col min="2" max="2" width="10.6328125" bestFit="1" customWidth="1"/>
    <col min="3" max="3" width="12.58984375" style="16" bestFit="1" customWidth="1"/>
    <col min="4" max="4" width="10.6328125" style="16" customWidth="1"/>
    <col min="5" max="5" width="11.58984375" bestFit="1" customWidth="1"/>
    <col min="6" max="6" width="11.26953125" customWidth="1"/>
    <col min="7" max="7" width="11.58984375" bestFit="1" customWidth="1"/>
    <col min="8" max="8" width="10.26953125" customWidth="1"/>
    <col min="9" max="9" width="12.58984375" bestFit="1" customWidth="1"/>
    <col min="10" max="10" width="11.26953125" customWidth="1"/>
    <col min="11" max="11" width="12.58984375" bestFit="1" customWidth="1"/>
    <col min="12" max="12" width="10.26953125" customWidth="1"/>
    <col min="13" max="13" width="12.58984375" bestFit="1" customWidth="1"/>
    <col min="14" max="14" width="10.26953125" customWidth="1"/>
    <col min="15" max="15" width="12.58984375" bestFit="1" customWidth="1"/>
    <col min="16" max="16" width="11.58984375" bestFit="1" customWidth="1"/>
  </cols>
  <sheetData>
    <row r="1" spans="1:16" x14ac:dyDescent="0.75">
      <c r="A1" s="1"/>
      <c r="B1" s="2"/>
      <c r="C1" s="3" t="s">
        <v>18</v>
      </c>
      <c r="D1" s="3" t="s">
        <v>21</v>
      </c>
      <c r="E1" s="9" t="s">
        <v>0</v>
      </c>
      <c r="F1" s="9" t="s">
        <v>21</v>
      </c>
      <c r="G1" s="3" t="s">
        <v>1</v>
      </c>
      <c r="H1" s="3" t="s">
        <v>21</v>
      </c>
      <c r="I1" s="3" t="s">
        <v>2</v>
      </c>
      <c r="J1" s="3" t="s">
        <v>21</v>
      </c>
      <c r="K1" s="3" t="s">
        <v>3</v>
      </c>
      <c r="L1" s="3" t="s">
        <v>21</v>
      </c>
      <c r="M1" s="3" t="s">
        <v>4</v>
      </c>
      <c r="N1" s="3" t="s">
        <v>21</v>
      </c>
      <c r="O1" s="3" t="s">
        <v>5</v>
      </c>
      <c r="P1" s="23" t="s">
        <v>6</v>
      </c>
    </row>
    <row r="2" spans="1:16" x14ac:dyDescent="0.75">
      <c r="A2" s="4"/>
      <c r="B2" s="5" t="s">
        <v>7</v>
      </c>
      <c r="C2" s="28">
        <v>450</v>
      </c>
      <c r="D2" s="31">
        <v>1</v>
      </c>
      <c r="E2" s="7">
        <f>+$C2*D2</f>
        <v>450</v>
      </c>
      <c r="F2" s="31">
        <v>5</v>
      </c>
      <c r="G2" s="7">
        <f t="shared" ref="G2:I8" si="0">+$C2*F2</f>
        <v>2250</v>
      </c>
      <c r="H2" s="31">
        <v>7</v>
      </c>
      <c r="I2" s="7">
        <f t="shared" si="0"/>
        <v>3150</v>
      </c>
      <c r="J2" s="31">
        <v>8</v>
      </c>
      <c r="K2" s="7">
        <f t="shared" ref="K2:M2" si="1">+$C2*J2</f>
        <v>3600</v>
      </c>
      <c r="L2" s="33">
        <v>2.5</v>
      </c>
      <c r="M2" s="7">
        <f t="shared" si="1"/>
        <v>1125</v>
      </c>
      <c r="N2" s="31"/>
      <c r="O2" s="7">
        <f t="shared" ref="O2" si="2">+$C2*N2</f>
        <v>0</v>
      </c>
      <c r="P2" s="24"/>
    </row>
    <row r="3" spans="1:16" x14ac:dyDescent="0.75">
      <c r="A3" s="4"/>
      <c r="B3" s="5" t="s">
        <v>19</v>
      </c>
      <c r="C3" s="28">
        <v>400</v>
      </c>
      <c r="D3" s="31">
        <v>2</v>
      </c>
      <c r="E3" s="7">
        <f t="shared" ref="E3:E8" si="3">+$C3*D3</f>
        <v>800</v>
      </c>
      <c r="F3" s="31">
        <v>3</v>
      </c>
      <c r="G3" s="7">
        <f t="shared" si="0"/>
        <v>1200</v>
      </c>
      <c r="H3" s="31"/>
      <c r="I3" s="7">
        <f t="shared" si="0"/>
        <v>0</v>
      </c>
      <c r="J3" s="31"/>
      <c r="K3" s="7">
        <f t="shared" ref="K3:M3" si="4">+$C3*J3</f>
        <v>0</v>
      </c>
      <c r="L3" s="33"/>
      <c r="M3" s="7">
        <f t="shared" si="4"/>
        <v>0</v>
      </c>
      <c r="N3" s="31">
        <v>14</v>
      </c>
      <c r="O3" s="7">
        <f t="shared" ref="O3" si="5">+$C3*N3</f>
        <v>5600</v>
      </c>
      <c r="P3" s="24"/>
    </row>
    <row r="4" spans="1:16" x14ac:dyDescent="0.75">
      <c r="A4" s="4"/>
      <c r="B4" s="5" t="s">
        <v>14</v>
      </c>
      <c r="C4" s="28">
        <v>250</v>
      </c>
      <c r="D4" s="31">
        <v>3</v>
      </c>
      <c r="E4" s="7">
        <f t="shared" si="3"/>
        <v>750</v>
      </c>
      <c r="F4" s="31"/>
      <c r="G4" s="7">
        <f t="shared" si="0"/>
        <v>0</v>
      </c>
      <c r="H4" s="31"/>
      <c r="I4" s="7">
        <f t="shared" si="0"/>
        <v>0</v>
      </c>
      <c r="J4" s="31"/>
      <c r="K4" s="7">
        <f t="shared" ref="K4:M4" si="6">+$C4*J4</f>
        <v>0</v>
      </c>
      <c r="L4" s="33"/>
      <c r="M4" s="7">
        <f t="shared" si="6"/>
        <v>0</v>
      </c>
      <c r="N4" s="31">
        <v>14</v>
      </c>
      <c r="O4" s="7">
        <f t="shared" ref="O4" si="7">+$C4*N4</f>
        <v>3500</v>
      </c>
      <c r="P4" s="24"/>
    </row>
    <row r="5" spans="1:16" x14ac:dyDescent="0.75">
      <c r="A5" s="4"/>
      <c r="B5" s="5" t="s">
        <v>15</v>
      </c>
      <c r="C5" s="28">
        <v>250</v>
      </c>
      <c r="D5" s="31">
        <v>1</v>
      </c>
      <c r="E5" s="7">
        <f t="shared" si="3"/>
        <v>250</v>
      </c>
      <c r="F5" s="31">
        <v>5</v>
      </c>
      <c r="G5" s="7">
        <f t="shared" si="0"/>
        <v>1250</v>
      </c>
      <c r="H5" s="31"/>
      <c r="I5" s="7">
        <f t="shared" si="0"/>
        <v>0</v>
      </c>
      <c r="J5" s="31"/>
      <c r="K5" s="7">
        <f t="shared" ref="K5:M5" si="8">+$C5*J5</f>
        <v>0</v>
      </c>
      <c r="L5" s="33"/>
      <c r="M5" s="7">
        <f t="shared" si="8"/>
        <v>0</v>
      </c>
      <c r="N5" s="31">
        <v>14</v>
      </c>
      <c r="O5" s="7">
        <f t="shared" ref="O5" si="9">+$C5*N5</f>
        <v>3500</v>
      </c>
      <c r="P5" s="24"/>
    </row>
    <row r="6" spans="1:16" x14ac:dyDescent="0.75">
      <c r="A6" s="4"/>
      <c r="B6" s="5" t="s">
        <v>20</v>
      </c>
      <c r="C6" s="28">
        <v>500</v>
      </c>
      <c r="D6" s="31">
        <v>1</v>
      </c>
      <c r="E6" s="7">
        <f t="shared" si="3"/>
        <v>500</v>
      </c>
      <c r="F6" s="31"/>
      <c r="G6" s="7">
        <f t="shared" si="0"/>
        <v>0</v>
      </c>
      <c r="H6" s="31">
        <v>7</v>
      </c>
      <c r="I6" s="7">
        <f t="shared" si="0"/>
        <v>3500</v>
      </c>
      <c r="J6" s="31">
        <v>10</v>
      </c>
      <c r="K6" s="7">
        <f t="shared" ref="K6:M6" si="10">+$C6*J6</f>
        <v>5000</v>
      </c>
      <c r="L6" s="31">
        <v>5</v>
      </c>
      <c r="M6" s="7">
        <f t="shared" si="10"/>
        <v>2500</v>
      </c>
      <c r="N6" s="31"/>
      <c r="O6" s="7">
        <f t="shared" ref="O6" si="11">+$C6*N6</f>
        <v>0</v>
      </c>
      <c r="P6" s="24"/>
    </row>
    <row r="7" spans="1:16" x14ac:dyDescent="0.75">
      <c r="A7" s="4"/>
      <c r="B7" s="5" t="s">
        <v>16</v>
      </c>
      <c r="C7" s="28">
        <v>300</v>
      </c>
      <c r="D7" s="31"/>
      <c r="E7" s="7">
        <f t="shared" si="3"/>
        <v>0</v>
      </c>
      <c r="F7" s="31"/>
      <c r="G7" s="7">
        <f t="shared" si="0"/>
        <v>0</v>
      </c>
      <c r="H7" s="31">
        <v>6</v>
      </c>
      <c r="I7" s="7">
        <f t="shared" ref="I7:K7" si="12">+$C7*H7</f>
        <v>1800</v>
      </c>
      <c r="J7" s="31">
        <v>31</v>
      </c>
      <c r="K7" s="7">
        <f t="shared" si="12"/>
        <v>9300</v>
      </c>
      <c r="L7" s="31">
        <v>1</v>
      </c>
      <c r="M7" s="7">
        <f t="shared" ref="M7:O7" si="13">+$C7*L7</f>
        <v>300</v>
      </c>
      <c r="N7" s="31"/>
      <c r="O7" s="7">
        <f t="shared" si="13"/>
        <v>0</v>
      </c>
      <c r="P7" s="24"/>
    </row>
    <row r="8" spans="1:16" x14ac:dyDescent="0.75">
      <c r="A8" s="4"/>
      <c r="B8" s="5" t="s">
        <v>17</v>
      </c>
      <c r="C8" s="28">
        <v>300</v>
      </c>
      <c r="D8" s="31"/>
      <c r="E8" s="7">
        <f t="shared" si="3"/>
        <v>0</v>
      </c>
      <c r="F8" s="31"/>
      <c r="G8" s="7">
        <f t="shared" si="0"/>
        <v>0</v>
      </c>
      <c r="H8" s="32"/>
      <c r="I8" s="7">
        <f t="shared" ref="I8:K8" si="14">+$C8*H8</f>
        <v>0</v>
      </c>
      <c r="J8" s="33">
        <v>11.5</v>
      </c>
      <c r="K8" s="7">
        <f t="shared" si="14"/>
        <v>3450</v>
      </c>
      <c r="L8" s="33">
        <v>4.2</v>
      </c>
      <c r="M8" s="7">
        <f t="shared" ref="M8:O8" si="15">+$C8*L8</f>
        <v>1260</v>
      </c>
      <c r="N8" s="31"/>
      <c r="O8" s="7">
        <f t="shared" si="15"/>
        <v>0</v>
      </c>
      <c r="P8" s="24"/>
    </row>
    <row r="9" spans="1:16" x14ac:dyDescent="0.75">
      <c r="A9" s="4" t="s">
        <v>8</v>
      </c>
      <c r="B9" s="5"/>
      <c r="C9" s="17">
        <v>2450</v>
      </c>
      <c r="D9" s="17"/>
      <c r="E9" s="10">
        <f>+SUM(E2:E8)</f>
        <v>2750</v>
      </c>
      <c r="F9" s="17"/>
      <c r="G9" s="10">
        <f>+SUM(G2:G8)</f>
        <v>4700</v>
      </c>
      <c r="H9" s="17"/>
      <c r="I9" s="10">
        <f>+SUM(I2:I8)</f>
        <v>8450</v>
      </c>
      <c r="J9" s="10"/>
      <c r="K9" s="10">
        <f>+SUM(K2:K8)</f>
        <v>21350</v>
      </c>
      <c r="L9" s="10"/>
      <c r="M9" s="10">
        <f>+SUM(M2:M8)</f>
        <v>5185</v>
      </c>
      <c r="N9" s="10"/>
      <c r="O9" s="10">
        <f>+SUM(O2:O8)</f>
        <v>12600</v>
      </c>
      <c r="P9" s="25">
        <f>+SUM(E9:O9)</f>
        <v>55035</v>
      </c>
    </row>
    <row r="10" spans="1:16" x14ac:dyDescent="0.75">
      <c r="A10" s="4"/>
      <c r="B10" s="5"/>
      <c r="C10" s="6"/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6"/>
    </row>
    <row r="11" spans="1:16" x14ac:dyDescent="0.75">
      <c r="A11" s="4" t="s">
        <v>9</v>
      </c>
      <c r="B11" s="5" t="s">
        <v>12</v>
      </c>
      <c r="C11" s="30">
        <v>250000</v>
      </c>
      <c r="D11" s="6"/>
      <c r="E11" s="8"/>
      <c r="F11" s="8"/>
      <c r="G11" s="5"/>
      <c r="H11" s="5"/>
      <c r="I11" s="5"/>
      <c r="J11" s="5"/>
      <c r="K11" s="5"/>
      <c r="L11" s="5"/>
      <c r="M11" s="5"/>
      <c r="N11" s="5"/>
      <c r="O11" s="5"/>
      <c r="P11" s="26"/>
    </row>
    <row r="12" spans="1:16" x14ac:dyDescent="0.75">
      <c r="A12" s="4"/>
      <c r="B12" s="5" t="s">
        <v>13</v>
      </c>
      <c r="C12" s="29">
        <f>+(C11-P9)/C11</f>
        <v>0.77986</v>
      </c>
      <c r="D12" s="6"/>
      <c r="E12" s="11"/>
      <c r="F12" s="11"/>
      <c r="G12" s="5"/>
      <c r="H12" s="5"/>
      <c r="I12" s="5"/>
      <c r="J12" s="5"/>
      <c r="K12" s="5"/>
      <c r="L12" s="5"/>
      <c r="M12" s="5"/>
      <c r="N12" s="5"/>
      <c r="O12" s="5"/>
      <c r="P12" s="26"/>
    </row>
    <row r="13" spans="1:16" x14ac:dyDescent="0.75">
      <c r="A13" s="4" t="s">
        <v>10</v>
      </c>
      <c r="B13" s="5"/>
      <c r="C13" s="6"/>
      <c r="D13" s="6"/>
      <c r="E13" s="12">
        <v>0.2</v>
      </c>
      <c r="F13" s="13"/>
      <c r="G13" s="13"/>
      <c r="H13" s="13"/>
      <c r="I13" s="13">
        <v>0.5</v>
      </c>
      <c r="J13" s="13"/>
      <c r="K13" s="13"/>
      <c r="L13" s="13"/>
      <c r="M13" s="13"/>
      <c r="N13" s="13"/>
      <c r="O13" s="14">
        <v>0.3</v>
      </c>
      <c r="P13" s="26"/>
    </row>
    <row r="14" spans="1:16" x14ac:dyDescent="0.75">
      <c r="A14" s="4"/>
      <c r="B14" s="5"/>
      <c r="C14" s="6"/>
      <c r="D14" s="6"/>
      <c r="E14" s="15">
        <f>+E13*$C$11</f>
        <v>50000</v>
      </c>
      <c r="F14" s="15"/>
      <c r="G14" s="15">
        <f t="shared" ref="F14:O14" si="16">+G13*E11</f>
        <v>0</v>
      </c>
      <c r="H14" s="15"/>
      <c r="I14" s="15">
        <f>+I13*$C$11</f>
        <v>125000</v>
      </c>
      <c r="J14" s="15"/>
      <c r="K14" s="15">
        <f t="shared" si="16"/>
        <v>0</v>
      </c>
      <c r="L14" s="15"/>
      <c r="M14" s="15">
        <f t="shared" si="16"/>
        <v>0</v>
      </c>
      <c r="N14" s="15"/>
      <c r="O14" s="15">
        <f>+O13*$C$11</f>
        <v>75000</v>
      </c>
      <c r="P14" s="26"/>
    </row>
    <row r="15" spans="1:16" x14ac:dyDescent="0.75">
      <c r="A15" s="4"/>
      <c r="B15" s="5"/>
      <c r="C15" s="6"/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26"/>
    </row>
    <row r="16" spans="1:16" s="22" customFormat="1" x14ac:dyDescent="0.75">
      <c r="A16" s="18" t="s">
        <v>11</v>
      </c>
      <c r="B16" s="19"/>
      <c r="C16" s="20"/>
      <c r="D16" s="20"/>
      <c r="E16" s="21">
        <f>+E14-E9</f>
        <v>47250</v>
      </c>
      <c r="F16" s="21"/>
      <c r="G16" s="21">
        <f>+E16+G14-G9</f>
        <v>42550</v>
      </c>
      <c r="H16" s="21"/>
      <c r="I16" s="21">
        <f>+G16+I14-I9</f>
        <v>159100</v>
      </c>
      <c r="J16" s="21"/>
      <c r="K16" s="21">
        <f>+I16+K14-K9</f>
        <v>137750</v>
      </c>
      <c r="L16" s="21"/>
      <c r="M16" s="21">
        <f>+K16+M14-M9</f>
        <v>132565</v>
      </c>
      <c r="N16" s="21"/>
      <c r="O16" s="21">
        <f>+M16+O14-O9</f>
        <v>194965</v>
      </c>
      <c r="P16" s="27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Sofia Rocha</dc:creator>
  <cp:lastModifiedBy>Maria Sofia Rocha</cp:lastModifiedBy>
  <cp:lastPrinted>2022-05-12T00:48:11Z</cp:lastPrinted>
  <dcterms:created xsi:type="dcterms:W3CDTF">2022-05-11T09:13:11Z</dcterms:created>
  <dcterms:modified xsi:type="dcterms:W3CDTF">2022-05-12T00:57:00Z</dcterms:modified>
</cp:coreProperties>
</file>